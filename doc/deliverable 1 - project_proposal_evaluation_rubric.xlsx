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sma Salem Mubarak Najem Aljneibi/handwritten-poems/"/>
    </mc:Choice>
  </mc:AlternateContent>
  <xr:revisionPtr revIDLastSave="0" documentId="13_ncr:1_{5B523C6C-5F28-7D48-B23B-042413A13670}" xr6:coauthVersionLast="47" xr6:coauthVersionMax="47" xr10:uidLastSave="{00000000-0000-0000-0000-000000000000}"/>
  <bookViews>
    <workbookView xWindow="0" yWindow="600" windowWidth="19220" windowHeight="19820" activeTab="1" xr2:uid="{00000000-000D-0000-FFFF-FFFF00000000}"/>
  </bookViews>
  <sheets>
    <sheet name="Evaluation Rubric" sheetId="1" r:id="rId1"/>
    <sheet name="Sheet1" sheetId="2" r:id="rId2"/>
    <sheet name="Sheet3" sheetId="4" r:id="rId3"/>
    <sheet name="Sheet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4" i="2"/>
  <c r="B31" i="2"/>
  <c r="A3" i="2"/>
  <c r="C6" i="3"/>
  <c r="C7" i="3" s="1"/>
  <c r="D6" i="3"/>
  <c r="D7" i="3" s="1"/>
  <c r="B7" i="3"/>
  <c r="B6" i="3"/>
  <c r="B3" i="2"/>
</calcChain>
</file>

<file path=xl/sharedStrings.xml><?xml version="1.0" encoding="utf-8"?>
<sst xmlns="http://schemas.openxmlformats.org/spreadsheetml/2006/main" count="150" uniqueCount="147">
  <si>
    <t>Section</t>
  </si>
  <si>
    <t>Criteria</t>
  </si>
  <si>
    <t>Max Points</t>
  </si>
  <si>
    <t>Excellent Description</t>
  </si>
  <si>
    <t>Partial Description</t>
  </si>
  <si>
    <t>Weak Description</t>
  </si>
  <si>
    <t>Score Awarded</t>
  </si>
  <si>
    <t>Reviewer Comments</t>
  </si>
  <si>
    <t>WHY: Problem Statement</t>
  </si>
  <si>
    <t>Problem clarity</t>
  </si>
  <si>
    <t>Precisely defined and scoped problem</t>
  </si>
  <si>
    <t>Some ambiguity in problem definition</t>
  </si>
  <si>
    <t>Vague or broad problem</t>
  </si>
  <si>
    <t>Context &amp; stakeholders</t>
  </si>
  <si>
    <t>Domain and stakeholders clearly identified</t>
  </si>
  <si>
    <t>Limited context or stakeholders</t>
  </si>
  <si>
    <t>Missing context or stakeholders</t>
  </si>
  <si>
    <t>Measurability</t>
  </si>
  <si>
    <t>Problem measurable with clear metrics</t>
  </si>
  <si>
    <t>Partially measurable</t>
  </si>
  <si>
    <t>Not measurable</t>
  </si>
  <si>
    <t>WHY: Value Creation</t>
  </si>
  <si>
    <t>Value articulation</t>
  </si>
  <si>
    <t>Clear, compelling benefits explained</t>
  </si>
  <si>
    <t>General benefits described</t>
  </si>
  <si>
    <t>No clear value</t>
  </si>
  <si>
    <t>Quantification &amp; evidence</t>
  </si>
  <si>
    <t>Metrics, numbers, and references included</t>
  </si>
  <si>
    <t>Rough estimates only</t>
  </si>
  <si>
    <t>No numbers or evidence</t>
  </si>
  <si>
    <t>Consequences &amp; impact</t>
  </si>
  <si>
    <t>Explains cost of not solving; multi-stakeholder impact</t>
  </si>
  <si>
    <t>Limited consequence discussion</t>
  </si>
  <si>
    <t>Missing consequences</t>
  </si>
  <si>
    <t>Tech Breakthrough: Comparison</t>
  </si>
  <si>
    <t>State-of-art understanding</t>
  </si>
  <si>
    <t>Clear comparison with references</t>
  </si>
  <si>
    <t>Limited comparison</t>
  </si>
  <si>
    <t>No comparison</t>
  </si>
  <si>
    <t>Gap identification</t>
  </si>
  <si>
    <t>Specific limitations identified</t>
  </si>
  <si>
    <t>Generic gaps</t>
  </si>
  <si>
    <t>No gaps identified</t>
  </si>
  <si>
    <t>Technical awareness</t>
  </si>
  <si>
    <t>Strong domain literacy</t>
  </si>
  <si>
    <t>Basic awareness</t>
  </si>
  <si>
    <t>Misunderstanding of domain</t>
  </si>
  <si>
    <t>Tech Breakthrough: Secret Sauce</t>
  </si>
  <si>
    <t>Originality</t>
  </si>
  <si>
    <t>Clearly novel idea</t>
  </si>
  <si>
    <t>Incremental improvement</t>
  </si>
  <si>
    <t>Commodity solution</t>
  </si>
  <si>
    <t>Technical depth</t>
  </si>
  <si>
    <t>Mechanism explained in detail</t>
  </si>
  <si>
    <t>High-level explanation</t>
  </si>
  <si>
    <t>Buzzwords only</t>
  </si>
  <si>
    <t>Differentiation</t>
  </si>
  <si>
    <t>Hard to replicate</t>
  </si>
  <si>
    <t>Moderately differentiated</t>
  </si>
  <si>
    <t>No differentiation</t>
  </si>
  <si>
    <t>Feasibility &amp; insight</t>
  </si>
  <si>
    <t>Technically plausible with deep insight</t>
  </si>
  <si>
    <t>Uncertain feasibility</t>
  </si>
  <si>
    <t>Unrealistic idea</t>
  </si>
  <si>
    <t>Execution Maturity</t>
  </si>
  <si>
    <t>Milestones &amp; deliverables</t>
  </si>
  <si>
    <t>Clearly defined stages and outputs</t>
  </si>
  <si>
    <t>Some stages defined</t>
  </si>
  <si>
    <t>Undefined milestones</t>
  </si>
  <si>
    <t>Validation &amp; metrics</t>
  </si>
  <si>
    <t>KPIs and validation strategy defined</t>
  </si>
  <si>
    <t>Partial metrics</t>
  </si>
  <si>
    <t>No validation</t>
  </si>
  <si>
    <t>Risk awareness</t>
  </si>
  <si>
    <t>Risks identified and mitigated</t>
  </si>
  <si>
    <t>Minimal risk discussion</t>
  </si>
  <si>
    <t>No risks considered</t>
  </si>
  <si>
    <t>HOW: Implementation</t>
  </si>
  <si>
    <t>Architecture &amp; tools</t>
  </si>
  <si>
    <t>Clear workflow and tech stack</t>
  </si>
  <si>
    <t>Generic tools mentioned</t>
  </si>
  <si>
    <t>No architecture</t>
  </si>
  <si>
    <t>Execution plan &amp; timeline</t>
  </si>
  <si>
    <t>Realistic implementation stages</t>
  </si>
  <si>
    <t>Rough plan</t>
  </si>
  <si>
    <t>No implementation plan</t>
  </si>
  <si>
    <t>WHY</t>
  </si>
  <si>
    <t>Tech Breakthrough</t>
  </si>
  <si>
    <t>Execution</t>
  </si>
  <si>
    <t>I know what next</t>
  </si>
  <si>
    <t xml:space="preserve">Category </t>
  </si>
  <si>
    <t>Reviewer</t>
  </si>
  <si>
    <t xml:space="preserve">Evaluation Criteria for Deliverable 1 - Project Proposal </t>
  </si>
  <si>
    <t>area (sqm)</t>
  </si>
  <si>
    <t># potential workshops</t>
  </si>
  <si>
    <t>total (AED)</t>
  </si>
  <si>
    <t>potential revenue per plot (AED) from rents</t>
  </si>
  <si>
    <t>total investment</t>
  </si>
  <si>
    <t>net profit</t>
  </si>
  <si>
    <t xml:space="preserve">investor returns </t>
  </si>
  <si>
    <t xml:space="preserve">security land </t>
  </si>
  <si>
    <t>excpected annual revenues LV</t>
  </si>
  <si>
    <t>excpected annual revenues HV</t>
  </si>
  <si>
    <t>Investment Category</t>
  </si>
  <si>
    <t>Estimated Allocation (AED)</t>
  </si>
  <si>
    <t>Strategic Purpose</t>
  </si>
  <si>
    <t>Facility Construction</t>
  </si>
  <si>
    <t>"Assets"</t>
  </si>
  <si>
    <t>Developing the HQ &amp; specialized workshop zones on our secured land.</t>
  </si>
  <si>
    <t>EV &amp; CNC Technology</t>
  </si>
  <si>
    <t>Acquiring EV diagnostic tools, battery testing labs, and high-precision CNC units.</t>
  </si>
  <si>
    <t>Working Capital</t>
  </si>
  <si>
    <t>"Inventories"</t>
  </si>
  <si>
    <t>Inventory procurement and fulfilling large-scale government and MOD tenders.</t>
  </si>
  <si>
    <t>Specialized Human Capital</t>
  </si>
  <si>
    <t>"Direct &amp; Indirect Cost"</t>
  </si>
  <si>
    <t>Onboarding EV-certified engineers and specialized technical trainers.</t>
  </si>
  <si>
    <t>R&amp;D &amp; Electronics Lab</t>
  </si>
  <si>
    <t>Advancing our reverse engineering and programming capabilities.</t>
  </si>
  <si>
    <t>Total Annual Investment</t>
  </si>
  <si>
    <t>Construction Cost &amp; related expenses</t>
  </si>
  <si>
    <t>investor returns (~25%)</t>
  </si>
  <si>
    <t>net profit (~50%)</t>
  </si>
  <si>
    <t>annual profit sharing is negotiable</t>
  </si>
  <si>
    <t>estimated investment</t>
  </si>
  <si>
    <t>~15M</t>
  </si>
  <si>
    <t xml:space="preserve">estimated annual operating </t>
  </si>
  <si>
    <t>~10M</t>
  </si>
  <si>
    <t>~25M</t>
  </si>
  <si>
    <t>collected in course of five years</t>
  </si>
  <si>
    <t>50 year land lease</t>
  </si>
  <si>
    <t xml:space="preserve">Option 2: Investor </t>
  </si>
  <si>
    <t>Utilize proportional area for operation 70% and 30% rental quick profit</t>
  </si>
  <si>
    <t>Total Area (sqm)</t>
  </si>
  <si>
    <t>potential number of workshops that may get us profit</t>
  </si>
  <si>
    <t>30% of the total area</t>
  </si>
  <si>
    <t xml:space="preserve">Total potential revenue from all plot (AED) from rents </t>
  </si>
  <si>
    <t>estimated rent value (RV) per plot</t>
  </si>
  <si>
    <t>Option 1: Partner  (they provide the capital and get the profit in five years)</t>
  </si>
  <si>
    <t xml:space="preserve">additional potential area (ready for investment) </t>
  </si>
  <si>
    <t>current area (out of potential)</t>
  </si>
  <si>
    <t>potential area ready for scaling</t>
  </si>
  <si>
    <t>HQ area</t>
  </si>
  <si>
    <t>LV workshop</t>
  </si>
  <si>
    <t>HV workshop</t>
  </si>
  <si>
    <t>current area (sqm)</t>
  </si>
  <si>
    <t>Current Area + Potential For Scale (this is our need but don’t frame it as need frame it as opportunity)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</si>
</sst>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9" fontId="0" fillId="0" borderId="0" xfId="1" applyFont="1"/>
    <xf numFmtId="3" fontId="0" fillId="0" borderId="0" xfId="0" applyNumberForma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6" fillId="0" borderId="5" xfId="0" applyFont="1" applyBorder="1"/>
    <xf numFmtId="0" fontId="0" fillId="0" borderId="0" xfId="0" applyBorder="1"/>
    <xf numFmtId="0" fontId="0" fillId="0" borderId="6" xfId="0" applyBorder="1"/>
    <xf numFmtId="3" fontId="0" fillId="0" borderId="0" xfId="0" applyNumberFormat="1" applyBorder="1"/>
    <xf numFmtId="0" fontId="6" fillId="0" borderId="7" xfId="0" applyFont="1" applyBorder="1"/>
    <xf numFmtId="0" fontId="0" fillId="0" borderId="9" xfId="0" applyBorder="1"/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0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6" fillId="7" borderId="2" xfId="0" applyFont="1" applyFill="1" applyBorder="1"/>
    <xf numFmtId="0" fontId="0" fillId="7" borderId="3" xfId="0" applyFill="1" applyBorder="1" applyAlignment="1">
      <alignment horizontal="center"/>
    </xf>
    <xf numFmtId="0" fontId="6" fillId="7" borderId="5" xfId="0" applyFont="1" applyFill="1" applyBorder="1"/>
    <xf numFmtId="0" fontId="0" fillId="7" borderId="0" xfId="0" applyFill="1" applyBorder="1" applyAlignment="1">
      <alignment horizontal="center"/>
    </xf>
    <xf numFmtId="3" fontId="0" fillId="7" borderId="0" xfId="0" applyNumberFormat="1" applyFill="1" applyBorder="1" applyAlignment="1">
      <alignment horizontal="center"/>
    </xf>
    <xf numFmtId="0" fontId="4" fillId="0" borderId="2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3" fontId="4" fillId="0" borderId="3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3"/>
  <sheetViews>
    <sheetView workbookViewId="0">
      <selection activeCell="D8" sqref="D8"/>
    </sheetView>
  </sheetViews>
  <sheetFormatPr baseColWidth="10" defaultColWidth="8.83203125" defaultRowHeight="15" x14ac:dyDescent="0.2"/>
  <cols>
    <col min="2" max="2" width="15.33203125" bestFit="1" customWidth="1"/>
    <col min="3" max="3" width="25.83203125" bestFit="1" customWidth="1"/>
    <col min="4" max="4" width="21.1640625" bestFit="1" customWidth="1"/>
    <col min="5" max="5" width="10.33203125" style="1" bestFit="1" customWidth="1"/>
    <col min="6" max="6" width="42.33203125" bestFit="1" customWidth="1"/>
    <col min="7" max="7" width="30.33203125" bestFit="1" customWidth="1"/>
    <col min="8" max="8" width="25.1640625" bestFit="1" customWidth="1"/>
    <col min="9" max="9" width="13.5" bestFit="1" customWidth="1"/>
    <col min="10" max="10" width="16.6640625" bestFit="1" customWidth="1"/>
    <col min="11" max="11" width="18.5" bestFit="1" customWidth="1"/>
  </cols>
  <sheetData>
    <row r="3" spans="2:11" ht="19" x14ac:dyDescent="0.25">
      <c r="B3" s="12" t="s">
        <v>92</v>
      </c>
      <c r="C3" s="12"/>
      <c r="D3" s="12"/>
      <c r="E3" s="12"/>
      <c r="F3" s="12"/>
      <c r="G3" s="12"/>
      <c r="H3" s="12"/>
      <c r="I3" s="12"/>
      <c r="J3" s="12"/>
      <c r="K3" s="12"/>
    </row>
    <row r="5" spans="2:11" ht="16" x14ac:dyDescent="0.2">
      <c r="B5" s="2" t="s">
        <v>90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91</v>
      </c>
      <c r="K5" s="2" t="s">
        <v>7</v>
      </c>
    </row>
    <row r="6" spans="2:11" x14ac:dyDescent="0.2">
      <c r="B6" s="13" t="s">
        <v>86</v>
      </c>
      <c r="C6" s="17" t="s">
        <v>8</v>
      </c>
      <c r="D6" s="8" t="s">
        <v>9</v>
      </c>
      <c r="E6" s="7">
        <v>4</v>
      </c>
      <c r="F6" s="8" t="s">
        <v>10</v>
      </c>
      <c r="G6" s="8" t="s">
        <v>11</v>
      </c>
      <c r="H6" s="8" t="s">
        <v>12</v>
      </c>
      <c r="I6" s="8"/>
      <c r="J6" s="8"/>
      <c r="K6" s="8"/>
    </row>
    <row r="7" spans="2:11" x14ac:dyDescent="0.2">
      <c r="B7" s="13"/>
      <c r="C7" s="17"/>
      <c r="D7" s="8" t="s">
        <v>13</v>
      </c>
      <c r="E7" s="7">
        <v>3</v>
      </c>
      <c r="F7" s="8" t="s">
        <v>14</v>
      </c>
      <c r="G7" s="8" t="s">
        <v>15</v>
      </c>
      <c r="H7" s="8" t="s">
        <v>16</v>
      </c>
      <c r="I7" s="8"/>
      <c r="J7" s="8"/>
      <c r="K7" s="8"/>
    </row>
    <row r="8" spans="2:11" x14ac:dyDescent="0.2">
      <c r="B8" s="13"/>
      <c r="C8" s="17"/>
      <c r="D8" s="8" t="s">
        <v>17</v>
      </c>
      <c r="E8" s="7">
        <v>3</v>
      </c>
      <c r="F8" s="8" t="s">
        <v>18</v>
      </c>
      <c r="G8" s="8" t="s">
        <v>19</v>
      </c>
      <c r="H8" s="8" t="s">
        <v>20</v>
      </c>
      <c r="I8" s="8"/>
      <c r="J8" s="8"/>
      <c r="K8" s="8"/>
    </row>
    <row r="9" spans="2:11" x14ac:dyDescent="0.2">
      <c r="B9" s="13"/>
      <c r="C9" s="17" t="s">
        <v>21</v>
      </c>
      <c r="D9" s="8" t="s">
        <v>22</v>
      </c>
      <c r="E9" s="7">
        <v>7</v>
      </c>
      <c r="F9" s="8" t="s">
        <v>23</v>
      </c>
      <c r="G9" s="8" t="s">
        <v>24</v>
      </c>
      <c r="H9" s="8" t="s">
        <v>25</v>
      </c>
      <c r="I9" s="8"/>
      <c r="J9" s="8"/>
      <c r="K9" s="8"/>
    </row>
    <row r="10" spans="2:11" x14ac:dyDescent="0.2">
      <c r="B10" s="13"/>
      <c r="C10" s="17"/>
      <c r="D10" s="8" t="s">
        <v>26</v>
      </c>
      <c r="E10" s="7">
        <v>7</v>
      </c>
      <c r="F10" s="8" t="s">
        <v>27</v>
      </c>
      <c r="G10" s="8" t="s">
        <v>28</v>
      </c>
      <c r="H10" s="8" t="s">
        <v>29</v>
      </c>
      <c r="I10" s="8"/>
      <c r="J10" s="8"/>
      <c r="K10" s="8"/>
    </row>
    <row r="11" spans="2:11" x14ac:dyDescent="0.2">
      <c r="B11" s="13"/>
      <c r="C11" s="17"/>
      <c r="D11" s="8" t="s">
        <v>30</v>
      </c>
      <c r="E11" s="7">
        <v>6</v>
      </c>
      <c r="F11" s="8" t="s">
        <v>31</v>
      </c>
      <c r="G11" s="8" t="s">
        <v>32</v>
      </c>
      <c r="H11" s="8" t="s">
        <v>33</v>
      </c>
      <c r="I11" s="8"/>
      <c r="J11" s="8"/>
      <c r="K11" s="8"/>
    </row>
    <row r="12" spans="2:11" x14ac:dyDescent="0.2">
      <c r="B12" s="14" t="s">
        <v>87</v>
      </c>
      <c r="C12" s="18" t="s">
        <v>34</v>
      </c>
      <c r="D12" s="10" t="s">
        <v>35</v>
      </c>
      <c r="E12" s="9">
        <v>6</v>
      </c>
      <c r="F12" s="10" t="s">
        <v>36</v>
      </c>
      <c r="G12" s="10" t="s">
        <v>37</v>
      </c>
      <c r="H12" s="10" t="s">
        <v>38</v>
      </c>
      <c r="I12" s="10"/>
      <c r="J12" s="10"/>
      <c r="K12" s="10"/>
    </row>
    <row r="13" spans="2:11" x14ac:dyDescent="0.2">
      <c r="B13" s="14"/>
      <c r="C13" s="18"/>
      <c r="D13" s="10" t="s">
        <v>39</v>
      </c>
      <c r="E13" s="9">
        <v>6</v>
      </c>
      <c r="F13" s="10" t="s">
        <v>40</v>
      </c>
      <c r="G13" s="10" t="s">
        <v>41</v>
      </c>
      <c r="H13" s="10" t="s">
        <v>42</v>
      </c>
      <c r="I13" s="10"/>
      <c r="J13" s="10"/>
      <c r="K13" s="10"/>
    </row>
    <row r="14" spans="2:11" x14ac:dyDescent="0.2">
      <c r="B14" s="14"/>
      <c r="C14" s="18"/>
      <c r="D14" s="10" t="s">
        <v>43</v>
      </c>
      <c r="E14" s="9">
        <v>3</v>
      </c>
      <c r="F14" s="10" t="s">
        <v>44</v>
      </c>
      <c r="G14" s="10" t="s">
        <v>45</v>
      </c>
      <c r="H14" s="10" t="s">
        <v>46</v>
      </c>
      <c r="I14" s="10"/>
      <c r="J14" s="10"/>
      <c r="K14" s="10"/>
    </row>
    <row r="15" spans="2:11" x14ac:dyDescent="0.2">
      <c r="B15" s="14"/>
      <c r="C15" s="18" t="s">
        <v>47</v>
      </c>
      <c r="D15" s="10" t="s">
        <v>48</v>
      </c>
      <c r="E15" s="9">
        <v>7</v>
      </c>
      <c r="F15" s="10" t="s">
        <v>49</v>
      </c>
      <c r="G15" s="10" t="s">
        <v>50</v>
      </c>
      <c r="H15" s="10" t="s">
        <v>51</v>
      </c>
      <c r="I15" s="10"/>
      <c r="J15" s="10"/>
      <c r="K15" s="10"/>
    </row>
    <row r="16" spans="2:11" x14ac:dyDescent="0.2">
      <c r="B16" s="14"/>
      <c r="C16" s="18"/>
      <c r="D16" s="10" t="s">
        <v>52</v>
      </c>
      <c r="E16" s="9">
        <v>7</v>
      </c>
      <c r="F16" s="10" t="s">
        <v>53</v>
      </c>
      <c r="G16" s="10" t="s">
        <v>54</v>
      </c>
      <c r="H16" s="10" t="s">
        <v>55</v>
      </c>
      <c r="I16" s="10"/>
      <c r="J16" s="10"/>
      <c r="K16" s="10"/>
    </row>
    <row r="17" spans="2:11" x14ac:dyDescent="0.2">
      <c r="B17" s="14"/>
      <c r="C17" s="18"/>
      <c r="D17" s="10" t="s">
        <v>56</v>
      </c>
      <c r="E17" s="9">
        <v>6</v>
      </c>
      <c r="F17" s="10" t="s">
        <v>57</v>
      </c>
      <c r="G17" s="10" t="s">
        <v>58</v>
      </c>
      <c r="H17" s="10" t="s">
        <v>59</v>
      </c>
      <c r="I17" s="10"/>
      <c r="J17" s="10"/>
      <c r="K17" s="10"/>
    </row>
    <row r="18" spans="2:11" x14ac:dyDescent="0.2">
      <c r="B18" s="14"/>
      <c r="C18" s="18"/>
      <c r="D18" s="10" t="s">
        <v>60</v>
      </c>
      <c r="E18" s="9">
        <v>5</v>
      </c>
      <c r="F18" s="10" t="s">
        <v>61</v>
      </c>
      <c r="G18" s="10" t="s">
        <v>62</v>
      </c>
      <c r="H18" s="10" t="s">
        <v>63</v>
      </c>
      <c r="I18" s="10"/>
      <c r="J18" s="10"/>
      <c r="K18" s="10"/>
    </row>
    <row r="19" spans="2:11" x14ac:dyDescent="0.2">
      <c r="B19" s="15" t="s">
        <v>89</v>
      </c>
      <c r="C19" s="19" t="s">
        <v>64</v>
      </c>
      <c r="D19" s="6" t="s">
        <v>65</v>
      </c>
      <c r="E19" s="5">
        <v>8</v>
      </c>
      <c r="F19" s="6" t="s">
        <v>66</v>
      </c>
      <c r="G19" s="6" t="s">
        <v>67</v>
      </c>
      <c r="H19" s="6" t="s">
        <v>68</v>
      </c>
      <c r="I19" s="6"/>
      <c r="J19" s="6"/>
      <c r="K19" s="6"/>
    </row>
    <row r="20" spans="2:11" x14ac:dyDescent="0.2">
      <c r="B20" s="15"/>
      <c r="C20" s="19"/>
      <c r="D20" s="6" t="s">
        <v>69</v>
      </c>
      <c r="E20" s="5">
        <v>7</v>
      </c>
      <c r="F20" s="6" t="s">
        <v>70</v>
      </c>
      <c r="G20" s="6" t="s">
        <v>71</v>
      </c>
      <c r="H20" s="6" t="s">
        <v>72</v>
      </c>
      <c r="I20" s="6"/>
      <c r="J20" s="6"/>
      <c r="K20" s="6"/>
    </row>
    <row r="21" spans="2:11" x14ac:dyDescent="0.2">
      <c r="B21" s="15"/>
      <c r="C21" s="19"/>
      <c r="D21" s="6" t="s">
        <v>73</v>
      </c>
      <c r="E21" s="5">
        <v>5</v>
      </c>
      <c r="F21" s="6" t="s">
        <v>74</v>
      </c>
      <c r="G21" s="6" t="s">
        <v>75</v>
      </c>
      <c r="H21" s="6" t="s">
        <v>76</v>
      </c>
      <c r="I21" s="6"/>
      <c r="J21" s="6"/>
      <c r="K21" s="6"/>
    </row>
    <row r="22" spans="2:11" x14ac:dyDescent="0.2">
      <c r="B22" s="16" t="s">
        <v>88</v>
      </c>
      <c r="C22" s="11" t="s">
        <v>77</v>
      </c>
      <c r="D22" s="4" t="s">
        <v>78</v>
      </c>
      <c r="E22" s="3">
        <v>6</v>
      </c>
      <c r="F22" s="4" t="s">
        <v>79</v>
      </c>
      <c r="G22" s="4" t="s">
        <v>80</v>
      </c>
      <c r="H22" s="4" t="s">
        <v>81</v>
      </c>
      <c r="I22" s="4"/>
      <c r="J22" s="4"/>
      <c r="K22" s="4"/>
    </row>
    <row r="23" spans="2:11" x14ac:dyDescent="0.2">
      <c r="B23" s="16"/>
      <c r="C23" s="11"/>
      <c r="D23" s="4" t="s">
        <v>82</v>
      </c>
      <c r="E23" s="3">
        <v>4</v>
      </c>
      <c r="F23" s="4" t="s">
        <v>83</v>
      </c>
      <c r="G23" s="4" t="s">
        <v>84</v>
      </c>
      <c r="H23" s="4" t="s">
        <v>85</v>
      </c>
      <c r="I23" s="4"/>
      <c r="J23" s="4"/>
      <c r="K23" s="4"/>
    </row>
  </sheetData>
  <mergeCells count="11">
    <mergeCell ref="C22:C23"/>
    <mergeCell ref="B3:K3"/>
    <mergeCell ref="B6:B11"/>
    <mergeCell ref="B12:B18"/>
    <mergeCell ref="B19:B21"/>
    <mergeCell ref="B22:B23"/>
    <mergeCell ref="C6:C8"/>
    <mergeCell ref="C9:C11"/>
    <mergeCell ref="C12:C14"/>
    <mergeCell ref="C15:C18"/>
    <mergeCell ref="C19:C21"/>
  </mergeCells>
  <pageMargins left="0.75" right="0.75" top="1" bottom="1" header="0.5" footer="0.5"/>
  <headerFooter>
    <oddFooter>&amp;C_x000D_&amp;1#&amp;"Aptos"&amp;11&amp;K000000 This is classified as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C734-0F3D-384D-A1D3-1129DBF33730}">
  <dimension ref="A1:D34"/>
  <sheetViews>
    <sheetView showGridLines="0" tabSelected="1" topLeftCell="A3" zoomScale="135" workbookViewId="0">
      <selection activeCell="B20" sqref="B20"/>
    </sheetView>
  </sheetViews>
  <sheetFormatPr baseColWidth="10" defaultRowHeight="15" x14ac:dyDescent="0.2"/>
  <cols>
    <col min="1" max="1" width="40.83203125" customWidth="1"/>
    <col min="2" max="2" width="18" bestFit="1" customWidth="1"/>
    <col min="3" max="3" width="34" bestFit="1" customWidth="1"/>
  </cols>
  <sheetData>
    <row r="1" spans="1:4" x14ac:dyDescent="0.2">
      <c r="A1" t="s">
        <v>93</v>
      </c>
      <c r="B1" t="s">
        <v>94</v>
      </c>
      <c r="C1" t="s">
        <v>96</v>
      </c>
      <c r="D1" t="s">
        <v>95</v>
      </c>
    </row>
    <row r="2" spans="1:4" x14ac:dyDescent="0.2">
      <c r="A2">
        <v>15000</v>
      </c>
    </row>
    <row r="3" spans="1:4" x14ac:dyDescent="0.2">
      <c r="A3">
        <f>0.3*A2</f>
        <v>4500</v>
      </c>
      <c r="B3">
        <f>A3/500</f>
        <v>9</v>
      </c>
      <c r="C3">
        <f>B3*500000</f>
        <v>4500000</v>
      </c>
      <c r="D3">
        <f>B3*C3</f>
        <v>40500000</v>
      </c>
    </row>
    <row r="11" spans="1:4" x14ac:dyDescent="0.2">
      <c r="A11" s="24" t="s">
        <v>138</v>
      </c>
    </row>
    <row r="12" spans="1:4" x14ac:dyDescent="0.2">
      <c r="A12" s="45" t="s">
        <v>124</v>
      </c>
      <c r="B12" s="46" t="s">
        <v>125</v>
      </c>
      <c r="C12" s="38"/>
    </row>
    <row r="13" spans="1:4" x14ac:dyDescent="0.2">
      <c r="A13" s="25" t="s">
        <v>126</v>
      </c>
      <c r="B13" s="31" t="s">
        <v>127</v>
      </c>
      <c r="C13" s="27"/>
    </row>
    <row r="14" spans="1:4" x14ac:dyDescent="0.2">
      <c r="A14" s="47" t="s">
        <v>97</v>
      </c>
      <c r="B14" s="48" t="s">
        <v>128</v>
      </c>
      <c r="C14" s="41"/>
    </row>
    <row r="15" spans="1:4" x14ac:dyDescent="0.2">
      <c r="A15" s="25"/>
      <c r="B15" s="31"/>
      <c r="C15" s="27"/>
    </row>
    <row r="16" spans="1:4" x14ac:dyDescent="0.2">
      <c r="A16" s="47" t="s">
        <v>101</v>
      </c>
      <c r="B16" s="49">
        <v>20000000</v>
      </c>
      <c r="C16" s="41"/>
    </row>
    <row r="17" spans="1:3" x14ac:dyDescent="0.2">
      <c r="A17" s="25" t="s">
        <v>122</v>
      </c>
      <c r="B17" s="31">
        <v>10000000</v>
      </c>
      <c r="C17" s="27"/>
    </row>
    <row r="18" spans="1:3" x14ac:dyDescent="0.2">
      <c r="A18" s="47" t="s">
        <v>99</v>
      </c>
      <c r="B18" s="48">
        <v>5000000</v>
      </c>
      <c r="C18" s="41" t="s">
        <v>129</v>
      </c>
    </row>
    <row r="19" spans="1:3" x14ac:dyDescent="0.2">
      <c r="A19" s="25"/>
      <c r="B19" s="31"/>
      <c r="C19" s="27"/>
    </row>
    <row r="20" spans="1:3" x14ac:dyDescent="0.2">
      <c r="A20" s="47" t="s">
        <v>102</v>
      </c>
      <c r="B20" s="48">
        <v>40000000</v>
      </c>
      <c r="C20" s="41"/>
    </row>
    <row r="21" spans="1:3" x14ac:dyDescent="0.2">
      <c r="A21" s="25" t="s">
        <v>98</v>
      </c>
      <c r="B21" s="32">
        <v>20000000</v>
      </c>
      <c r="C21" s="27"/>
    </row>
    <row r="22" spans="1:3" x14ac:dyDescent="0.2">
      <c r="A22" s="47" t="s">
        <v>121</v>
      </c>
      <c r="B22" s="48">
        <v>5000000</v>
      </c>
      <c r="C22" s="41" t="s">
        <v>129</v>
      </c>
    </row>
    <row r="23" spans="1:3" x14ac:dyDescent="0.2">
      <c r="A23" s="47" t="s">
        <v>123</v>
      </c>
      <c r="B23" s="31"/>
      <c r="C23" s="27"/>
    </row>
    <row r="24" spans="1:3" x14ac:dyDescent="0.2">
      <c r="A24" s="29" t="s">
        <v>100</v>
      </c>
      <c r="B24" s="33" t="s">
        <v>130</v>
      </c>
      <c r="C24" s="30"/>
    </row>
    <row r="27" spans="1:3" x14ac:dyDescent="0.2">
      <c r="A27" s="24" t="s">
        <v>131</v>
      </c>
    </row>
    <row r="28" spans="1:3" x14ac:dyDescent="0.2">
      <c r="A28" s="24" t="s">
        <v>132</v>
      </c>
    </row>
    <row r="30" spans="1:3" x14ac:dyDescent="0.2">
      <c r="A30" s="36" t="s">
        <v>133</v>
      </c>
      <c r="B30" s="37">
        <v>15000</v>
      </c>
      <c r="C30" s="38"/>
    </row>
    <row r="31" spans="1:3" x14ac:dyDescent="0.2">
      <c r="A31" s="35" t="s">
        <v>135</v>
      </c>
      <c r="B31" s="26">
        <f>0.3*B30</f>
        <v>4500</v>
      </c>
      <c r="C31" s="27"/>
    </row>
    <row r="32" spans="1:3" x14ac:dyDescent="0.2">
      <c r="A32" s="39" t="s">
        <v>134</v>
      </c>
      <c r="B32" s="40">
        <v>9</v>
      </c>
      <c r="C32" s="41"/>
    </row>
    <row r="33" spans="1:3" x14ac:dyDescent="0.2">
      <c r="A33" s="35" t="s">
        <v>137</v>
      </c>
      <c r="B33" s="28">
        <v>500000</v>
      </c>
      <c r="C33" s="27"/>
    </row>
    <row r="34" spans="1:3" x14ac:dyDescent="0.2">
      <c r="A34" s="42" t="s">
        <v>136</v>
      </c>
      <c r="B34" s="43">
        <f>B32*B33</f>
        <v>4500000</v>
      </c>
      <c r="C34" s="44"/>
    </row>
  </sheetData>
  <pageMargins left="0.7" right="0.7" top="0.75" bottom="0.75" header="0.3" footer="0.3"/>
  <headerFooter>
    <oddFooter>&amp;C_x000D_&amp;1#&amp;"Aptos"&amp;11&amp;K000000 This is classified as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6A0E-4B3A-EC47-B228-2B2644B22F90}">
  <dimension ref="A1:C22"/>
  <sheetViews>
    <sheetView showGridLines="0" zoomScale="138" workbookViewId="0">
      <selection activeCell="B27" sqref="B27"/>
    </sheetView>
  </sheetViews>
  <sheetFormatPr baseColWidth="10" defaultRowHeight="15" x14ac:dyDescent="0.2"/>
  <cols>
    <col min="1" max="1" width="23.1640625" bestFit="1" customWidth="1"/>
    <col min="2" max="2" width="25.5" bestFit="1" customWidth="1"/>
    <col min="3" max="3" width="67.6640625" bestFit="1" customWidth="1"/>
  </cols>
  <sheetData>
    <row r="1" spans="1:3" ht="19" x14ac:dyDescent="0.25">
      <c r="A1" s="67" t="s">
        <v>120</v>
      </c>
    </row>
    <row r="3" spans="1:3" x14ac:dyDescent="0.2">
      <c r="A3" s="22" t="s">
        <v>103</v>
      </c>
      <c r="B3" s="22" t="s">
        <v>104</v>
      </c>
      <c r="C3" s="22" t="s">
        <v>105</v>
      </c>
    </row>
    <row r="4" spans="1:3" x14ac:dyDescent="0.2">
      <c r="A4" s="50" t="s">
        <v>106</v>
      </c>
      <c r="B4" s="55">
        <v>29000000</v>
      </c>
      <c r="C4" s="51" t="s">
        <v>108</v>
      </c>
    </row>
    <row r="5" spans="1:3" x14ac:dyDescent="0.2">
      <c r="A5" s="35"/>
      <c r="B5" s="56"/>
      <c r="C5" s="52"/>
    </row>
    <row r="6" spans="1:3" x14ac:dyDescent="0.2">
      <c r="A6" s="53" t="s">
        <v>107</v>
      </c>
      <c r="B6" s="57"/>
      <c r="C6" s="54"/>
    </row>
    <row r="7" spans="1:3" x14ac:dyDescent="0.2">
      <c r="A7" s="50" t="s">
        <v>109</v>
      </c>
      <c r="B7" s="55">
        <v>8000000</v>
      </c>
      <c r="C7" s="51" t="s">
        <v>110</v>
      </c>
    </row>
    <row r="8" spans="1:3" x14ac:dyDescent="0.2">
      <c r="A8" s="35"/>
      <c r="B8" s="56"/>
      <c r="C8" s="52"/>
    </row>
    <row r="9" spans="1:3" x14ac:dyDescent="0.2">
      <c r="A9" s="53" t="s">
        <v>107</v>
      </c>
      <c r="B9" s="57"/>
      <c r="C9" s="54"/>
    </row>
    <row r="10" spans="1:3" x14ac:dyDescent="0.2">
      <c r="A10" s="50" t="s">
        <v>111</v>
      </c>
      <c r="B10" s="55">
        <v>6000000</v>
      </c>
      <c r="C10" s="51" t="s">
        <v>113</v>
      </c>
    </row>
    <row r="11" spans="1:3" x14ac:dyDescent="0.2">
      <c r="A11" s="35"/>
      <c r="B11" s="56"/>
      <c r="C11" s="52"/>
    </row>
    <row r="12" spans="1:3" x14ac:dyDescent="0.2">
      <c r="A12" s="53" t="s">
        <v>112</v>
      </c>
      <c r="B12" s="57"/>
      <c r="C12" s="54"/>
    </row>
    <row r="13" spans="1:3" x14ac:dyDescent="0.2">
      <c r="A13" s="50" t="s">
        <v>114</v>
      </c>
      <c r="B13" s="55">
        <v>4000000</v>
      </c>
      <c r="C13" s="51" t="s">
        <v>116</v>
      </c>
    </row>
    <row r="14" spans="1:3" x14ac:dyDescent="0.2">
      <c r="A14" s="35"/>
      <c r="B14" s="56"/>
      <c r="C14" s="52"/>
    </row>
    <row r="15" spans="1:3" x14ac:dyDescent="0.2">
      <c r="A15" s="53" t="s">
        <v>115</v>
      </c>
      <c r="B15" s="57"/>
      <c r="C15" s="54"/>
    </row>
    <row r="16" spans="1:3" x14ac:dyDescent="0.2">
      <c r="A16" s="50" t="s">
        <v>117</v>
      </c>
      <c r="B16" s="55">
        <v>3000000</v>
      </c>
      <c r="C16" s="51" t="s">
        <v>118</v>
      </c>
    </row>
    <row r="17" spans="1:3" x14ac:dyDescent="0.2">
      <c r="A17" s="35"/>
      <c r="B17" s="56"/>
      <c r="C17" s="52"/>
    </row>
    <row r="18" spans="1:3" x14ac:dyDescent="0.2">
      <c r="A18" s="53" t="s">
        <v>115</v>
      </c>
      <c r="B18" s="57"/>
      <c r="C18" s="54"/>
    </row>
    <row r="19" spans="1:3" x14ac:dyDescent="0.2">
      <c r="A19" s="22" t="s">
        <v>119</v>
      </c>
      <c r="B19" s="58">
        <v>50000000</v>
      </c>
      <c r="C19" s="23"/>
    </row>
    <row r="22" spans="1:3" x14ac:dyDescent="0.2">
      <c r="B22" s="21"/>
    </row>
  </sheetData>
  <mergeCells count="10">
    <mergeCell ref="B13:B15"/>
    <mergeCell ref="C13:C15"/>
    <mergeCell ref="B16:B18"/>
    <mergeCell ref="C16:C18"/>
    <mergeCell ref="B4:B6"/>
    <mergeCell ref="C4:C6"/>
    <mergeCell ref="B7:B9"/>
    <mergeCell ref="C7:C9"/>
    <mergeCell ref="B10:B12"/>
    <mergeCell ref="C10:C12"/>
  </mergeCells>
  <pageMargins left="0.7" right="0.7" top="0.75" bottom="0.75" header="0.3" footer="0.3"/>
  <headerFooter>
    <oddFooter>&amp;C_x000D_&amp;1#&amp;"Aptos"&amp;11&amp;K000000 This is classified as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F3A2-04B1-1749-A395-14FDB01F15B2}">
  <dimension ref="A1:D9"/>
  <sheetViews>
    <sheetView showGridLines="0" zoomScale="200" workbookViewId="0">
      <selection activeCell="A13" sqref="A13"/>
    </sheetView>
  </sheetViews>
  <sheetFormatPr baseColWidth="10" defaultRowHeight="15" x14ac:dyDescent="0.2"/>
  <cols>
    <col min="1" max="1" width="38" bestFit="1" customWidth="1"/>
    <col min="2" max="2" width="12.33203125" customWidth="1"/>
    <col min="3" max="3" width="15.6640625" customWidth="1"/>
    <col min="4" max="4" width="16.6640625" customWidth="1"/>
  </cols>
  <sheetData>
    <row r="1" spans="1:4" x14ac:dyDescent="0.2">
      <c r="A1" t="s">
        <v>146</v>
      </c>
    </row>
    <row r="3" spans="1:4" x14ac:dyDescent="0.2">
      <c r="A3" s="34"/>
      <c r="B3" s="65" t="s">
        <v>142</v>
      </c>
      <c r="C3" s="65" t="s">
        <v>143</v>
      </c>
      <c r="D3" s="66" t="s">
        <v>144</v>
      </c>
    </row>
    <row r="4" spans="1:4" x14ac:dyDescent="0.2">
      <c r="A4" s="25" t="s">
        <v>145</v>
      </c>
      <c r="B4" s="59">
        <v>300</v>
      </c>
      <c r="C4" s="59">
        <v>1000</v>
      </c>
      <c r="D4" s="60">
        <v>2000</v>
      </c>
    </row>
    <row r="5" spans="1:4" x14ac:dyDescent="0.2">
      <c r="A5" s="25" t="s">
        <v>139</v>
      </c>
      <c r="B5" s="59">
        <v>1000</v>
      </c>
      <c r="C5" s="59">
        <v>15000</v>
      </c>
      <c r="D5" s="60">
        <v>15000</v>
      </c>
    </row>
    <row r="6" spans="1:4" x14ac:dyDescent="0.2">
      <c r="A6" s="25" t="s">
        <v>140</v>
      </c>
      <c r="B6" s="61">
        <f>B4/B5</f>
        <v>0.3</v>
      </c>
      <c r="C6" s="61">
        <f>C4/C5</f>
        <v>6.6666666666666666E-2</v>
      </c>
      <c r="D6" s="62">
        <f>D4/D5</f>
        <v>0.13333333333333333</v>
      </c>
    </row>
    <row r="7" spans="1:4" x14ac:dyDescent="0.2">
      <c r="A7" s="29" t="s">
        <v>141</v>
      </c>
      <c r="B7" s="63">
        <f>1-B6</f>
        <v>0.7</v>
      </c>
      <c r="C7" s="63">
        <f>1-C6</f>
        <v>0.93333333333333335</v>
      </c>
      <c r="D7" s="64">
        <f>1-D6</f>
        <v>0.8666666666666667</v>
      </c>
    </row>
    <row r="9" spans="1:4" x14ac:dyDescent="0.2">
      <c r="C9" s="20"/>
    </row>
  </sheetData>
  <pageMargins left="0.7" right="0.7" top="0.75" bottom="0.75" header="0.3" footer="0.3"/>
  <headerFooter>
    <oddFooter>&amp;C_x000D_&amp;1#&amp;"Aptos"&amp;11&amp;K000000 This is classified as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Evaluation Rubric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 Salem Aljneibi</cp:lastModifiedBy>
  <dcterms:created xsi:type="dcterms:W3CDTF">2026-02-22T15:45:23Z</dcterms:created>
  <dcterms:modified xsi:type="dcterms:W3CDTF">2026-04-05T12:34:26Z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755440-57ef-4e58-ae50-baaa124fe54d_Enabled">
    <vt:lpwstr>true</vt:lpwstr>
  </property>
  <property fmtid="{D5CDD505-2E9C-101B-9397-08002B2CF9AE}" pid="3" name="MSIP_Label_89755440-57ef-4e58-ae50-baaa124fe54d_SetDate">
    <vt:lpwstr>2026-04-05T12:34:26Z</vt:lpwstr>
  </property>
  <property fmtid="{D5CDD505-2E9C-101B-9397-08002B2CF9AE}" pid="4" name="MSIP_Label_89755440-57ef-4e58-ae50-baaa124fe54d_Method">
    <vt:lpwstr>Standard</vt:lpwstr>
  </property>
  <property fmtid="{D5CDD505-2E9C-101B-9397-08002B2CF9AE}" pid="5" name="MSIP_Label_89755440-57ef-4e58-ae50-baaa124fe54d_Name">
    <vt:lpwstr>Confidential Classification</vt:lpwstr>
  </property>
  <property fmtid="{D5CDD505-2E9C-101B-9397-08002B2CF9AE}" pid="6" name="MSIP_Label_89755440-57ef-4e58-ae50-baaa124fe54d_SiteId">
    <vt:lpwstr>6926239f-3483-4451-8452-48ee3bee086f</vt:lpwstr>
  </property>
  <property fmtid="{D5CDD505-2E9C-101B-9397-08002B2CF9AE}" pid="7" name="MSIP_Label_89755440-57ef-4e58-ae50-baaa124fe54d_ActionId">
    <vt:lpwstr>2cc0e39b-28dd-4aa8-be83-d82ed6309029</vt:lpwstr>
  </property>
  <property fmtid="{D5CDD505-2E9C-101B-9397-08002B2CF9AE}" pid="8" name="MSIP_Label_89755440-57ef-4e58-ae50-baaa124fe54d_ContentBits">
    <vt:lpwstr>2</vt:lpwstr>
  </property>
  <property fmtid="{D5CDD505-2E9C-101B-9397-08002B2CF9AE}" pid="9" name="MSIP_Label_89755440-57ef-4e58-ae50-baaa124fe54d_Tag">
    <vt:lpwstr>50, 3, 0, 1</vt:lpwstr>
  </property>
</Properties>
</file>